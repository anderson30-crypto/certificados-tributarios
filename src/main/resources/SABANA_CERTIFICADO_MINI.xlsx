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 Integrador\certificados-tributarios-master\certificados-tributarios\src\main\resources\"/>
    </mc:Choice>
  </mc:AlternateContent>
  <xr:revisionPtr revIDLastSave="0" documentId="13_ncr:1_{84AC7F8D-8FE7-4761-AF16-18C6A637580A}" xr6:coauthVersionLast="47" xr6:coauthVersionMax="47" xr10:uidLastSave="{00000000-0000-0000-0000-000000000000}"/>
  <bookViews>
    <workbookView xWindow="-108" yWindow="-108" windowWidth="23256" windowHeight="12456" xr2:uid="{4D3B91EF-504D-40B9-A464-F85D83C5368B}"/>
  </bookViews>
  <sheets>
    <sheet name="General (2)" sheetId="3" r:id="rId1"/>
  </sheets>
  <definedNames>
    <definedName name="_xlnm._FilterDatabase" localSheetId="0" hidden="1">'General (2)'!$A$1:$S$11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11" i="3"/>
  <c r="R10" i="3"/>
  <c r="R9" i="3"/>
  <c r="R8" i="3"/>
  <c r="R7" i="3"/>
  <c r="R6" i="3"/>
  <c r="R5" i="3"/>
  <c r="R4" i="3"/>
  <c r="R3" i="3"/>
</calcChain>
</file>

<file path=xl/sharedStrings.xml><?xml version="1.0" encoding="utf-8"?>
<sst xmlns="http://schemas.openxmlformats.org/spreadsheetml/2006/main" count="79" uniqueCount="68">
  <si>
    <t>PRIMER_APELLIDO</t>
  </si>
  <si>
    <t>SEGUNDO_APELLIDO</t>
  </si>
  <si>
    <t xml:space="preserve">NOMBRE </t>
  </si>
  <si>
    <t>TIPO DOC</t>
  </si>
  <si>
    <t>NRO IDENTIFICACION</t>
  </si>
  <si>
    <t>CORREO</t>
  </si>
  <si>
    <t>SALARIO</t>
  </si>
  <si>
    <t>HONORARIOS</t>
  </si>
  <si>
    <t>SERVICIOS</t>
  </si>
  <si>
    <t>COMISIONES</t>
  </si>
  <si>
    <t>PRESTACIONES SOCIALES</t>
  </si>
  <si>
    <t>PAGO VIATICOS</t>
  </si>
  <si>
    <t>GASTOS REPRESENTACION</t>
  </si>
  <si>
    <t>OTROS INGRESOS</t>
  </si>
  <si>
    <t>CESANTIAS A EMPLEADOS</t>
  </si>
  <si>
    <t>CESANTIAS A FONDOS</t>
  </si>
  <si>
    <t>PENSIONES</t>
  </si>
  <si>
    <t>TOTAL ING BRUTOS</t>
  </si>
  <si>
    <t>RETE ICA</t>
  </si>
  <si>
    <t>ALVAREZ</t>
  </si>
  <si>
    <t>VERA</t>
  </si>
  <si>
    <t>OMAR</t>
  </si>
  <si>
    <t>cédula de ciudadanía</t>
  </si>
  <si>
    <t>avera@hotmail.com</t>
  </si>
  <si>
    <t>CAMARGO</t>
  </si>
  <si>
    <t>MARIN</t>
  </si>
  <si>
    <t>ELEYCER</t>
  </si>
  <si>
    <t>cmarin@hotmail.com</t>
  </si>
  <si>
    <t>HERNANDEZ</t>
  </si>
  <si>
    <t>CANO</t>
  </si>
  <si>
    <t>CESAR RICARDO</t>
  </si>
  <si>
    <t>hcano@hotmail.com</t>
  </si>
  <si>
    <t>MANOSALVA</t>
  </si>
  <si>
    <t>GONZALEZ</t>
  </si>
  <si>
    <t>JUAN SEBASTIAN</t>
  </si>
  <si>
    <t>mgonza@hotmail.com</t>
  </si>
  <si>
    <t>VILLA</t>
  </si>
  <si>
    <t>GOMEZ</t>
  </si>
  <si>
    <t>JUAN DAVID</t>
  </si>
  <si>
    <t>vgomez@hotmail.com</t>
  </si>
  <si>
    <t>CALLES</t>
  </si>
  <si>
    <t>MORENO</t>
  </si>
  <si>
    <t>RAFAEL JESUS</t>
  </si>
  <si>
    <t>permiso por protección temporal</t>
  </si>
  <si>
    <t>cmoren@hotmail.com</t>
  </si>
  <si>
    <t>BERNAL</t>
  </si>
  <si>
    <t>VELASQUEZ</t>
  </si>
  <si>
    <t>ANGY MARYURI</t>
  </si>
  <si>
    <t>bvelas@hotmail.com</t>
  </si>
  <si>
    <t>FERREIRA</t>
  </si>
  <si>
    <t>JIMENEZ</t>
  </si>
  <si>
    <t>JAVIER AUGUSTO</t>
  </si>
  <si>
    <t>fjimen@hotmail.com</t>
  </si>
  <si>
    <t>CABALLERO</t>
  </si>
  <si>
    <t>MARTHA</t>
  </si>
  <si>
    <t>cherna@hotmail.com</t>
  </si>
  <si>
    <t>ZORRO</t>
  </si>
  <si>
    <t>RINCON</t>
  </si>
  <si>
    <t>NICOLAS</t>
  </si>
  <si>
    <t>zrinco@hotmail.com</t>
  </si>
  <si>
    <t>coordinacionctic.bga@upb.edu.co</t>
  </si>
  <si>
    <t>jose.serrano.2021@upb.edu.co</t>
  </si>
  <si>
    <t>PEÑA</t>
  </si>
  <si>
    <t>FUENTES</t>
  </si>
  <si>
    <t>JAIRO</t>
  </si>
  <si>
    <t>JOSE</t>
  </si>
  <si>
    <t xml:space="preserve">SERRANO </t>
  </si>
  <si>
    <t>PRADA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</si>
</sst>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 Ligh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1" fillId="2" borderId="0" xfId="0" applyFont="1" applyFill="1" applyAlignment="1">
      <alignment wrapText="1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se.serrano.2021@upb.edu.co" TargetMode="External"/><Relationship Id="rId1" Type="http://schemas.openxmlformats.org/officeDocument/2006/relationships/hyperlink" Target="mailto:coordinacionctic.bga@upb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6413-D9B6-48BF-A7B1-A180E4CD51A8}">
  <dimension ref="A1:S13"/>
  <sheetViews>
    <sheetView tabSelected="1" workbookViewId="0">
      <selection activeCell="S13" sqref="S13"/>
    </sheetView>
  </sheetViews>
  <sheetFormatPr baseColWidth="10" defaultColWidth="11.44140625" defaultRowHeight="14.4" x14ac:dyDescent="0.3"/>
  <cols>
    <col min="1" max="1" width="16.6640625" customWidth="1"/>
    <col min="2" max="2" width="18.109375" customWidth="1"/>
    <col min="3" max="3" width="15.88671875" customWidth="1"/>
    <col min="4" max="4" width="27.77734375" customWidth="1"/>
    <col min="5" max="5" width="19.5546875" customWidth="1"/>
    <col min="6" max="6" width="29.109375" customWidth="1"/>
    <col min="7" max="7" width="13.44140625" customWidth="1"/>
    <col min="8" max="8" width="12.44140625" customWidth="1"/>
    <col min="9" max="9" width="12" customWidth="1"/>
    <col min="10" max="10" width="13.109375" customWidth="1"/>
    <col min="11" max="11" width="14" customWidth="1"/>
    <col min="12" max="12" width="9.88671875" customWidth="1"/>
    <col min="13" max="14" width="12.44140625" customWidth="1"/>
    <col min="15" max="15" width="16.33203125" customWidth="1"/>
    <col min="16" max="16" width="16.44140625" customWidth="1"/>
    <col min="17" max="17" width="11.44140625" customWidth="1"/>
    <col min="18" max="18" width="17" bestFit="1" customWidth="1"/>
    <col min="19" max="19" width="9.88671875" bestFit="1" customWidth="1"/>
  </cols>
  <sheetData>
    <row r="1" spans="1:1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>
        <v>1002632848</v>
      </c>
      <c r="F2" t="s">
        <v>23</v>
      </c>
      <c r="G2" s="3">
        <v>0</v>
      </c>
      <c r="H2" s="3">
        <v>173343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f>SUM(G2:Q2)</f>
        <v>173343</v>
      </c>
      <c r="S2" s="3">
        <v>0</v>
      </c>
    </row>
    <row r="3" spans="1:19" x14ac:dyDescent="0.3">
      <c r="A3" s="2" t="s">
        <v>24</v>
      </c>
      <c r="B3" s="2" t="s">
        <v>25</v>
      </c>
      <c r="C3" s="2" t="s">
        <v>26</v>
      </c>
      <c r="D3" s="2" t="s">
        <v>22</v>
      </c>
      <c r="E3">
        <v>1002633134</v>
      </c>
      <c r="F3" t="s">
        <v>27</v>
      </c>
      <c r="G3" s="3">
        <v>0</v>
      </c>
      <c r="H3" s="3">
        <v>217107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f t="shared" ref="R3:R12" si="0">SUM(G3:Q3)</f>
        <v>217107</v>
      </c>
      <c r="S3" s="3">
        <v>0</v>
      </c>
    </row>
    <row r="4" spans="1:19" x14ac:dyDescent="0.3">
      <c r="A4" s="2" t="s">
        <v>28</v>
      </c>
      <c r="B4" s="2" t="s">
        <v>29</v>
      </c>
      <c r="C4" s="2" t="s">
        <v>30</v>
      </c>
      <c r="D4" s="2" t="s">
        <v>22</v>
      </c>
      <c r="E4">
        <v>1002634002</v>
      </c>
      <c r="F4" t="s">
        <v>31</v>
      </c>
      <c r="G4" s="3">
        <v>29920897</v>
      </c>
      <c r="H4" s="3">
        <v>229000</v>
      </c>
      <c r="I4" s="3">
        <v>0</v>
      </c>
      <c r="J4" s="3">
        <v>0</v>
      </c>
      <c r="K4" s="3">
        <v>3740112</v>
      </c>
      <c r="L4" s="3">
        <v>0</v>
      </c>
      <c r="M4" s="3">
        <v>0</v>
      </c>
      <c r="N4" s="3">
        <v>0</v>
      </c>
      <c r="O4" s="3">
        <v>2596845</v>
      </c>
      <c r="P4" s="3">
        <v>0</v>
      </c>
      <c r="Q4" s="3">
        <v>0</v>
      </c>
      <c r="R4" s="4">
        <f t="shared" si="0"/>
        <v>36486854</v>
      </c>
      <c r="S4" s="3">
        <v>0</v>
      </c>
    </row>
    <row r="5" spans="1:19" x14ac:dyDescent="0.3">
      <c r="A5" s="2" t="s">
        <v>32</v>
      </c>
      <c r="B5" s="2" t="s">
        <v>33</v>
      </c>
      <c r="C5" s="2" t="s">
        <v>34</v>
      </c>
      <c r="D5" s="2" t="s">
        <v>22</v>
      </c>
      <c r="E5">
        <v>1002634684</v>
      </c>
      <c r="F5" t="s">
        <v>35</v>
      </c>
      <c r="G5" s="3">
        <v>15014999</v>
      </c>
      <c r="H5" s="3">
        <v>229000</v>
      </c>
      <c r="I5" s="3">
        <v>0</v>
      </c>
      <c r="J5" s="3">
        <v>0</v>
      </c>
      <c r="K5" s="3">
        <v>1876875</v>
      </c>
      <c r="L5" s="3">
        <v>0</v>
      </c>
      <c r="M5" s="3">
        <v>0</v>
      </c>
      <c r="N5" s="3">
        <v>0</v>
      </c>
      <c r="O5" s="3">
        <v>1301300</v>
      </c>
      <c r="P5" s="3">
        <v>0</v>
      </c>
      <c r="Q5" s="3">
        <v>0</v>
      </c>
      <c r="R5" s="4">
        <f t="shared" si="0"/>
        <v>18422174</v>
      </c>
      <c r="S5" s="3">
        <v>0</v>
      </c>
    </row>
    <row r="6" spans="1:19" x14ac:dyDescent="0.3">
      <c r="A6" s="2" t="s">
        <v>36</v>
      </c>
      <c r="B6" s="2" t="s">
        <v>37</v>
      </c>
      <c r="C6" s="2" t="s">
        <v>38</v>
      </c>
      <c r="D6" s="2" t="s">
        <v>22</v>
      </c>
      <c r="E6">
        <v>1002636981</v>
      </c>
      <c r="F6" t="s">
        <v>39</v>
      </c>
      <c r="G6" s="3">
        <v>0</v>
      </c>
      <c r="H6" s="3">
        <v>229000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f t="shared" si="0"/>
        <v>229000</v>
      </c>
      <c r="S6" s="3">
        <v>0</v>
      </c>
    </row>
    <row r="7" spans="1:19" x14ac:dyDescent="0.3">
      <c r="A7" s="2" t="s">
        <v>40</v>
      </c>
      <c r="B7" s="2" t="s">
        <v>41</v>
      </c>
      <c r="C7" s="2" t="s">
        <v>42</v>
      </c>
      <c r="D7" s="2" t="s">
        <v>43</v>
      </c>
      <c r="E7">
        <v>1002655550</v>
      </c>
      <c r="F7" t="s">
        <v>44</v>
      </c>
      <c r="G7" s="3">
        <v>52742465</v>
      </c>
      <c r="H7" s="3">
        <v>231124</v>
      </c>
      <c r="I7" s="3">
        <v>0</v>
      </c>
      <c r="J7" s="3">
        <v>0</v>
      </c>
      <c r="K7" s="3">
        <v>8570684</v>
      </c>
      <c r="L7" s="3">
        <v>0</v>
      </c>
      <c r="M7" s="3">
        <v>0</v>
      </c>
      <c r="N7" s="3">
        <v>2358198</v>
      </c>
      <c r="O7" s="3">
        <v>460202</v>
      </c>
      <c r="P7" s="3">
        <v>3835014</v>
      </c>
      <c r="Q7" s="3">
        <v>0</v>
      </c>
      <c r="R7" s="4">
        <f t="shared" si="0"/>
        <v>68197687</v>
      </c>
      <c r="S7" s="3">
        <v>0</v>
      </c>
    </row>
    <row r="8" spans="1:19" x14ac:dyDescent="0.3">
      <c r="A8" s="2" t="s">
        <v>45</v>
      </c>
      <c r="B8" s="2" t="s">
        <v>46</v>
      </c>
      <c r="C8" s="2" t="s">
        <v>47</v>
      </c>
      <c r="D8" s="2" t="s">
        <v>22</v>
      </c>
      <c r="E8">
        <v>1002656487</v>
      </c>
      <c r="F8" t="s">
        <v>48</v>
      </c>
      <c r="G8" s="3">
        <v>0</v>
      </c>
      <c r="H8" s="3">
        <v>253287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f t="shared" si="0"/>
        <v>253287</v>
      </c>
      <c r="S8" s="3">
        <v>0</v>
      </c>
    </row>
    <row r="9" spans="1:19" x14ac:dyDescent="0.3">
      <c r="A9" s="2" t="s">
        <v>49</v>
      </c>
      <c r="B9" s="2" t="s">
        <v>50</v>
      </c>
      <c r="C9" s="2" t="s">
        <v>51</v>
      </c>
      <c r="D9" s="2" t="s">
        <v>22</v>
      </c>
      <c r="E9">
        <v>1004577732</v>
      </c>
      <c r="F9" t="s">
        <v>52</v>
      </c>
      <c r="G9" s="3">
        <v>0</v>
      </c>
      <c r="H9" s="3">
        <v>253287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f t="shared" si="0"/>
        <v>253287</v>
      </c>
      <c r="S9" s="3">
        <v>0</v>
      </c>
    </row>
    <row r="10" spans="1:19" x14ac:dyDescent="0.3">
      <c r="A10" s="2" t="s">
        <v>53</v>
      </c>
      <c r="B10" s="2" t="s">
        <v>28</v>
      </c>
      <c r="C10" s="2" t="s">
        <v>54</v>
      </c>
      <c r="D10" s="2" t="s">
        <v>22</v>
      </c>
      <c r="E10">
        <v>1004798557</v>
      </c>
      <c r="F10" t="s">
        <v>55</v>
      </c>
      <c r="G10" s="3">
        <v>0</v>
      </c>
      <c r="H10" s="3">
        <v>260000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f t="shared" si="0"/>
        <v>260000</v>
      </c>
      <c r="S10" s="3">
        <v>0</v>
      </c>
    </row>
    <row r="11" spans="1:19" x14ac:dyDescent="0.3">
      <c r="A11" s="2" t="s">
        <v>56</v>
      </c>
      <c r="B11" s="2" t="s">
        <v>57</v>
      </c>
      <c r="C11" s="2" t="s">
        <v>58</v>
      </c>
      <c r="D11" s="2" t="s">
        <v>22</v>
      </c>
      <c r="E11">
        <v>1005568661</v>
      </c>
      <c r="F11" t="s">
        <v>59</v>
      </c>
      <c r="G11" s="3">
        <v>0</v>
      </c>
      <c r="H11" s="3">
        <v>289476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f t="shared" si="0"/>
        <v>289476</v>
      </c>
      <c r="S11" s="3">
        <v>0</v>
      </c>
    </row>
    <row r="12" spans="1:19" x14ac:dyDescent="0.3">
      <c r="A12" s="2" t="s">
        <v>62</v>
      </c>
      <c r="B12" s="2" t="s">
        <v>63</v>
      </c>
      <c r="C12" s="2" t="s">
        <v>64</v>
      </c>
      <c r="D12" s="2" t="s">
        <v>22</v>
      </c>
      <c r="E12">
        <v>1000000001</v>
      </c>
      <c r="F12" s="6" t="s">
        <v>60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</row>
    <row r="13" spans="1:19" x14ac:dyDescent="0.3">
      <c r="A13" s="2" t="s">
        <v>66</v>
      </c>
      <c r="B13" s="2" t="s">
        <v>67</v>
      </c>
      <c r="C13" s="2" t="s">
        <v>65</v>
      </c>
      <c r="D13" s="2" t="s">
        <v>22</v>
      </c>
      <c r="E13">
        <v>1000000002</v>
      </c>
      <c r="F13" s="6" t="s">
        <v>61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</sheetData>
  <autoFilter ref="A1:S182" xr:uid="{9F006413-D9B6-48BF-A7B1-A180E4CD51A8}"/>
  <hyperlinks>
    <hyperlink ref="F12" r:id="rId1" xr:uid="{2957F0C4-3BD4-411C-933E-21B36CD42215}"/>
    <hyperlink ref="F13" r:id="rId2" xr:uid="{88C929CD-BAD4-47FF-B655-E1A7B3542A6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53d3ac-3f50-43a3-baab-349149f665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844EF0458C854780115DD2EAE86CD8" ma:contentTypeVersion="10" ma:contentTypeDescription="Create a new document." ma:contentTypeScope="" ma:versionID="2d6fb868361771210eb8d47756feca69">
  <xsd:schema xmlns:xsd="http://www.w3.org/2001/XMLSchema" xmlns:xs="http://www.w3.org/2001/XMLSchema" xmlns:p="http://schemas.microsoft.com/office/2006/metadata/properties" xmlns:ns2="3b53d3ac-3f50-43a3-baab-349149f6658e" targetNamespace="http://schemas.microsoft.com/office/2006/metadata/properties" ma:root="true" ma:fieldsID="a01b8106cb07637265480c8c2c05caeb" ns2:_="">
    <xsd:import namespace="3b53d3ac-3f50-43a3-baab-349149f66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3d3ac-3f50-43a3-baab-349149f66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3128A5-60ED-4E24-9BBC-8605CD0BF491}">
  <ds:schemaRefs>
    <ds:schemaRef ds:uri="http://schemas.microsoft.com/office/2006/metadata/properties"/>
    <ds:schemaRef ds:uri="http://schemas.microsoft.com/office/infopath/2007/PartnerControls"/>
    <ds:schemaRef ds:uri="3b53d3ac-3f50-43a3-baab-349149f6658e"/>
  </ds:schemaRefs>
</ds:datastoreItem>
</file>

<file path=customXml/itemProps2.xml><?xml version="1.0" encoding="utf-8"?>
<ds:datastoreItem xmlns:ds="http://schemas.openxmlformats.org/officeDocument/2006/customXml" ds:itemID="{920BC647-C618-4A23-BBA5-0393A1D7F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183AFA-554E-4E95-A30D-9D53FAA63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53d3ac-3f50-43a3-baab-349149f66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Amparo Barajas Niño</dc:creator>
  <cp:keywords/>
  <dc:description/>
  <cp:lastModifiedBy>Jose Daniel Serrano Prada</cp:lastModifiedBy>
  <cp:revision/>
  <dcterms:created xsi:type="dcterms:W3CDTF">2026-08-03T14:32:08Z</dcterms:created>
  <dcterms:modified xsi:type="dcterms:W3CDTF">2026-10-19T14:07:12Z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0x010100CD844EF0458C854780115DD2EAE86CD8</vt:lpwstr>
  </property>
  <property fmtid="{D5CDD505-2E9C-101B-9397-08002B2CF9AE}" pid="3" name="MediaServiceImageTags">
    <vt:lpwstr/>
  </property>
</Properties>
</file>